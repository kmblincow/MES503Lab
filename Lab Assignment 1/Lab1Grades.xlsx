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ac6229071bdafc06/UVI/F26_MES503/MES503Lab/Lab Assignment 1/"/>
    </mc:Choice>
  </mc:AlternateContent>
  <xr:revisionPtr revIDLastSave="203" documentId="8_{FB82230C-6DCA-4D9A-881C-538C641DE55F}" xr6:coauthVersionLast="47" xr6:coauthVersionMax="47" xr10:uidLastSave="{AE88E512-4F24-4B5C-942A-ABACFF8A0CC8}"/>
  <bookViews>
    <workbookView xWindow="-110" yWindow="-110" windowWidth="19420" windowHeight="10300" xr2:uid="{2B4CA56E-0A3F-4AE9-B3A1-E954E5BA577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5" i="1" l="1"/>
  <c r="J15" i="1"/>
  <c r="J16" i="1"/>
  <c r="K16" i="1" s="1"/>
  <c r="L16" i="1" s="1"/>
  <c r="J10" i="1"/>
  <c r="K10" i="1" s="1"/>
  <c r="L10" i="1" s="1"/>
  <c r="L3" i="1"/>
  <c r="J3" i="1"/>
  <c r="J4" i="1"/>
  <c r="K4" i="1" s="1"/>
  <c r="L4" i="1" s="1"/>
  <c r="J5" i="1"/>
  <c r="K5" i="1" s="1"/>
  <c r="L5" i="1" s="1"/>
  <c r="J6" i="1"/>
  <c r="K6" i="1" s="1"/>
  <c r="L6" i="1" s="1"/>
  <c r="J7" i="1"/>
  <c r="K7" i="1" s="1"/>
  <c r="L7" i="1" s="1"/>
  <c r="J8" i="1"/>
  <c r="K8" i="1" s="1"/>
  <c r="L8" i="1" s="1"/>
  <c r="J9" i="1"/>
  <c r="K9" i="1" s="1"/>
  <c r="L9" i="1" s="1"/>
  <c r="J11" i="1"/>
  <c r="K11" i="1" s="1"/>
  <c r="L11" i="1" s="1"/>
  <c r="J12" i="1"/>
  <c r="K12" i="1" s="1"/>
  <c r="L12" i="1" s="1"/>
  <c r="J13" i="1"/>
  <c r="K13" i="1" s="1"/>
  <c r="L13" i="1" s="1"/>
  <c r="J14" i="1"/>
  <c r="K14" i="1" s="1"/>
  <c r="L14" i="1" s="1"/>
  <c r="J2" i="1"/>
  <c r="L15" i="1" l="1"/>
  <c r="K3" i="1"/>
</calcChain>
</file>

<file path=xl/sharedStrings.xml><?xml version="1.0" encoding="utf-8"?>
<sst xmlns="http://schemas.openxmlformats.org/spreadsheetml/2006/main" count="39" uniqueCount="39">
  <si>
    <t>Kadejsha</t>
  </si>
  <si>
    <t>CTQs</t>
  </si>
  <si>
    <t>CodeComments</t>
  </si>
  <si>
    <t>NoErrors</t>
  </si>
  <si>
    <t>Viz1</t>
  </si>
  <si>
    <t>Viz2</t>
  </si>
  <si>
    <t>Viz3</t>
  </si>
  <si>
    <t>Viz4</t>
  </si>
  <si>
    <t>DataImport/Exploration</t>
  </si>
  <si>
    <t>Total</t>
  </si>
  <si>
    <t>Scaledto50</t>
  </si>
  <si>
    <t>Comments</t>
  </si>
  <si>
    <t>Plot 1: Visual is showing mass on the y axis, rather than the number of observations within each habitat type--this led to missing interpretation questions (e.g. Rubble has the smallest sample size, but seagrass has the smallest value for yellowtail snapper mass). 
Plot 1: Unequal sample sizes across groups might introduce issues, because groups with smaller sample sizes will have less data and may give less precise or reliable estimates.
Plot 2: Seagrass has the greatest variation in body size; there aren't really any extreme observations aside from the seagrass outlier (not sure why you were disucssing sample size here or how you know the sample size from the code you included)
Critical Thinking Q3: A higher sample size would bring the sample closer to the true population--what you have written implies the opposite. You're close, but haven't really demsontrated a full understanding of the importance of sample size.</t>
  </si>
  <si>
    <t>Branalysa</t>
  </si>
  <si>
    <t>Plot 1: Unequal sample sizes across groups might introduce issues, because groups with smaller sample sizes will have less data and may give less precise or reliable estimates. This doesn't necessarily mean you cannot accurately compare habitats as you say, it just means you have to be wary. 
Plot 2: What is on your x-axis? Typically you want to include units in your axis labels (not taking points off for this).
Plot 2: I'm not really following your answer to Q4-There is only one outlier in coral reefs according to your visual. There is also one for seagrass as well. For Q5 I think you saying the correct thing, but it's worded weirdly. There is a lot of overlap in your distributions of body mass across habitat types so it's unlikely you will see a significant difference (though it's possible given the wider spread of coral reef habitat).
Plot 3: Q3-Which points are jumping out to you as outliers? 
Plot 4: You state lower depths seem to have higher fish density, but your visual depicts the opposite relationship (higher fish density at higher depths).
Critical Thinking Qs: I'm not really following your answer for Q1, I think you have the right idea, it's just not being communicated very well.</t>
  </si>
  <si>
    <t>Lauryn</t>
  </si>
  <si>
    <t>Saia</t>
  </si>
  <si>
    <t>Plot 3: You state that you don't expect to have much significance, but you directly calculated it with the correlation test (and it's highly significant). You have a significant negative trend, it's just not a very strong negative trend. Additionally, you called out the clustering based on habitat. This is important, there seems to be an effect of habitat that could be contributing to the trend--without investigating group effects of habitat you never would have known this and could spuriously attribute the downward trend to algae (which it still could be, there's more algae in rubble areas and less in coral). We can't say what is causing the trend, only that there is one. You could have done a better job explaining the ecological significance of all this, but overall good job.</t>
  </si>
  <si>
    <t>Destiny</t>
  </si>
  <si>
    <t>Data Exploration: Fish Density is a continuous variable not a categorical variable; missing algae_cover as a continuous variable; No explanation of reasoning bheind your selection of predictor/response variables.
Plot 1: Missing week 3 customizations (manually defining color palette, changing alpha, facet_wrapping, using theme() to control legend position, etc.).
Plot 1: Kind of missing the mark on why having different sample sizes might influence your comparison of habitats. Was looking for a more general answer: Unequal sample sizes across groups might introduce issues, because groups with smaller sample sizes will have less data and may give less precise or reliable estimates.
Plot 2: Be very careful about speaking (or writing) in absolutes. You cannot say for sure if there is no influence of habitat on body size, even with the overlap. In fact, if you were to actually run an ANOVA, you would see that there is a significant difference with coral reefs having higher body mass than the others.  
Plot 3: Q3 - which points are jumping out to you as outliers? What is unusual about the data?
Plot 4: The facet_wrap() is working against you in this visual, it's harder to compare you groups (not taking points off for this, but something you should consider next time). 
Plot 4: The outliers in the patch reef do not necessarily mean there is more variation there, in fact, when you look at the spread of the boxplot w/o the outliers it is smaller than somehwere like the South Reef, indicating the Patch Reef is less variable. You have a sentence that just ends without being finished  here... I suspect this is where you were going to provide a possible ecological explanation?
Critical Thinking Q1: Running a correlation test would not tell you whether a variable causes another either. This is a very important distinction--we cannot say whether something causes something else unless we have designed our study in such a way to isolate the causal variable effects.
Critical Thinking Q4: Which visualization showed you that sex determined size? I do not see a plot that shows that. Regardless, your ecological explanation is not well formulated and I'm not really following what you think explains the pattern you saw. If large fish are favored by females and become selected for, does that mean you expect males to be larger? Is that a pattern you observed? Why would females be smaller?</t>
  </si>
  <si>
    <t xml:space="preserve">Plot 1: Your scale_color_manual() isn't doing anything because you didn't specify color = site, you specificied fill = site, so scale_fill_manual() would have been more appropriate.
Plot 1: In what context would it skew data to one habitat type? Unequal sample sizes across groups might introduce issues, because groups with smaller sample sizes will have less data and may give less precise or reliable estimates.
Plot 4: There is some overlap in habitat type, but there is a definite pattern of algal cover based on habitat type (makes sense--I'd expect there to be less algae on coral reefs than rubble areas). It would have been good to discuss this in your interpretation and to provide a little more ecological context.
Critical Thinking 1: Why can it be assumed that all habitats will ahve a similar size fish and what does that mean in the context of causation?
Critical Thinking 2: Sex can be a confounding factor but you haven't really made the connection between the fish size/GSI relationship, sex, and confounding factors.
Critical Thinking 3: ??? I'm not following what you are saying. A larger sample size is typically a good thing, because it will be closer to the true population. 
Critical Thinking 4: What relationship did you observe between habtiat type and fish size? You need to state this first to provide context for your epxlanation of the mechanism that might explain the pattern you observed. I'm not really following your answer here. </t>
  </si>
  <si>
    <t>Sommer</t>
  </si>
  <si>
    <t>Plot 2: There is a lot of overlap between the distributions, but you say there is none. You also have some really low body size observations from seagrass (unusual observations).
Plot 3: Your explanation for body size being a predictor is a little weird, but not inaccurate. What makes something a good predictor though? Typically it would be a clear, consistent relationship, which we can see in your plot given that there is a consistent postive relationship.
Plot 4: Your interpretation of the plot is kind of weird. You specifically call out differences between the North Reef and South Reef, but your visual includes all sites (Patch Reef and Fringing Reef). You also specifically say the South Reef seagrass has both sexes represented, but aren't both sexes represented in seagrass habitats across all sites? In this case, I think the facet_wrap() by site is working against you. It is adding another variable to your visual that does not relate to your original question: Does the distribution of male and female individuals differ among coral, reef, and seagrass habitats? By including this additional variable, you need to discuss the differences observed across all sites (not just two of them)</t>
  </si>
  <si>
    <t>Plot 2: Box plots don't display standard error so your response to question 5 is slightly inaccurate. It is reasonable to assume visually there isn't a difference in body mass between habitats because of the overlapping distributions, but we don't know how much overlap in standard error there is based on your visual.
Critical Thinking Q1: What evidence do you have that depth is causing an increase in fish density? We can't say anything other than they are correlated and have a relationship because we haven't controlled for other variables that might confound the effect of depth.</t>
  </si>
  <si>
    <t>Olivia</t>
  </si>
  <si>
    <t>Emma</t>
  </si>
  <si>
    <t>Plot 3: How strong is your positive relationship? I would accept your answer to the fourth interpretation question if you had just been relying on your visual, but you've committed a major statistical no-no by running a statistical test (Pearson's correlation test) and only reporting the p-value and not the test statistic or effective size (the correlation coeffecient). If you are reporting a p-value you must ALWAYS also report the effect size--you can have a significant p-value and have a not very strong correlation. BTW your correlation coefficient is 0.52.
Plot 4: Avoid saying "disproving" or "proving" across the board in science. Even evolution is still a "theory"... We can reject a hypothesis, but it takes a lot more than a visual to "prove" a hypothesis is incorrect. If you are going to reference other "exploratory" plots in your interpretation you should include them in your code as well.
Critical Thinking Q2: I'm not sure I agree that the positive relationship between length and GSI is "weak" when not taking into sex.</t>
  </si>
  <si>
    <t>Miles</t>
  </si>
  <si>
    <t xml:space="preserve">Data Exploration: There 240 observations of 9 columns in the data.
Plot 2: The strength of the trend/amount of overlap between distributions is not what dictates causality. We would be able to determine causality if we designed a study that controlled variables such that we isolated one (e.g. habitat) to see how it influences our response (e.g. body length).
Plot 3: Why would you use body mass instead of body length? </t>
  </si>
  <si>
    <t>Rob</t>
  </si>
  <si>
    <t>Plot 1: Be careful about saying something is "significantly" different than something else. You should reserve that term specifically for if you have done a statistical test and found it to be significant. You're correct about using a ratio, but haven't answered how the sample differences would influence your comparisons: Unequal sample sizes across groups might introduce issues, because groups with smaller sample sizes will have less data and may give less precise or reliable estimates.</t>
  </si>
  <si>
    <t>Helen</t>
  </si>
  <si>
    <t>Plot 4: Why would more algae decrease oxygen? In most cases, algae is photosynthesizing making more oxygen. Unless you're talking about decaying sargassum, that's a different story.</t>
  </si>
  <si>
    <t>John</t>
  </si>
  <si>
    <t xml:space="preserve">Plot 1: Missing an informative title, and two customization elements from Week 3 Lab.
Plot 2: Missing an informative title, and only one customization from Week 3 lab.
Plot 2: Why do you conlcude there isn't a difference body size between habitats?
Plot 3: Missing () after theme_bw, leading to weird code output (not throwing an error, but a coding syntax error nonetheless). </t>
  </si>
  <si>
    <t>Tia</t>
  </si>
  <si>
    <t xml:space="preserve">Data Exploration: Length is also a continuous variable
Plot 1: What do you mean there is more variation? Where do we see more variation?
Plot 2: Avoid saying the word "significant" unless you have run a statistical test. In this case we are only using a visual, so you might conclude there isn't a difference based on the visual, but you can only say there is not a "significant" difference if you run a statistical test.
Plot 4: The way you have your plot structured with algal cover on the y axis it is suggesting that fish density is driving algal cover, but you imply with your prediction and interpretation that you think algal cover is driving fish density.
Plot 4: "Fail to reject" the null hypothesis, not accept (not taking points off for this). </t>
  </si>
  <si>
    <t>Neve</t>
  </si>
  <si>
    <t>Code throws an error during filtering because library(dplyr) not included in the script.
Overall, it's a good idea to capitalize axis labels and check your plot elements for spelling errors before submission (no points taken off for this).
Data Exploration: Mass is also continuous.; Which variables from this dataset would allow you to determine the population makeup and habits of yellowtail snapper? What specific conservation goals would you be addressing given the data you have?; Avoid using the word "significant" unless you have run a statistical test. How do you know the females seem to be significantly smaller than the males? Did you run a test?
Plot 1: Only one Week 3 customization (alpha), size is not meaningful for bar graphs (warning message that tells you that).
Plot 1: Explain more about how sample size will influence your ability to compare habitats. Do large sample sizes always lead to significance? What if there truly isn't a difference between things? It doesn't matter how high your sample size is, if there's no relationship, there's no relationship. Unequal sample sizes across groups might introduce issues, because groups with smaller sample sizes will have less data and may give less precise or reliable estimates.
Plot 4: Only one customization element (alpha). Size is not meaningful for bar graphs.
Critical Thinking Q3: Same as above, a higher sample size does not necessarily increase significance if there is no relationship to begin with. Higher sample size will increase your likelihood of detecting a difference if one exists. It also doesn't decrease randomization, the random nature of the world cannot be controlled by us (unfortunately), but the influence of the randomness of the world is decreased at higher sample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</si>
</sst>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220B7-4BCB-4CEE-BCA7-A2EE8327144B}">
  <dimension ref="A1:M16"/>
  <sheetViews>
    <sheetView tabSelected="1" topLeftCell="B1" workbookViewId="0">
      <pane ySplit="2" topLeftCell="A16" activePane="bottomLeft" state="frozen"/>
      <selection pane="bottomLeft" activeCell="M20" sqref="M20"/>
    </sheetView>
  </sheetViews>
  <sheetFormatPr defaultRowHeight="14.5" x14ac:dyDescent="0.35"/>
  <cols>
    <col min="2" max="2" width="19.81640625" bestFit="1" customWidth="1"/>
    <col min="3" max="3" width="7.6328125" bestFit="1" customWidth="1"/>
    <col min="4" max="5" width="7.6328125" customWidth="1"/>
    <col min="6" max="6" width="4.1796875" bestFit="1" customWidth="1"/>
    <col min="8" max="8" width="14.08984375" bestFit="1" customWidth="1"/>
    <col min="13" max="13" width="59.6328125" style="3" customWidth="1"/>
  </cols>
  <sheetData>
    <row r="1" spans="1:13" x14ac:dyDescent="0.35">
      <c r="B1" t="s">
        <v>8</v>
      </c>
      <c r="C1" t="s">
        <v>4</v>
      </c>
      <c r="D1" t="s">
        <v>5</v>
      </c>
      <c r="E1" t="s">
        <v>6</v>
      </c>
      <c r="F1" t="s">
        <v>7</v>
      </c>
      <c r="G1" t="s">
        <v>1</v>
      </c>
      <c r="H1" t="s">
        <v>2</v>
      </c>
      <c r="I1" t="s">
        <v>3</v>
      </c>
      <c r="J1" s="1" t="s">
        <v>9</v>
      </c>
      <c r="K1" s="1" t="s">
        <v>10</v>
      </c>
      <c r="L1" s="1"/>
      <c r="M1" s="2" t="s">
        <v>11</v>
      </c>
    </row>
    <row r="2" spans="1:13" x14ac:dyDescent="0.35">
      <c r="B2">
        <v>5</v>
      </c>
      <c r="C2">
        <v>10</v>
      </c>
      <c r="D2">
        <v>10</v>
      </c>
      <c r="E2">
        <v>10</v>
      </c>
      <c r="F2">
        <v>10</v>
      </c>
      <c r="G2">
        <v>10</v>
      </c>
      <c r="H2">
        <v>3</v>
      </c>
      <c r="I2">
        <v>3</v>
      </c>
      <c r="J2">
        <f>SUM(B2:I2)</f>
        <v>61</v>
      </c>
    </row>
    <row r="3" spans="1:13" ht="217.5" x14ac:dyDescent="0.35">
      <c r="A3" t="s">
        <v>0</v>
      </c>
      <c r="B3">
        <v>5</v>
      </c>
      <c r="C3">
        <v>7</v>
      </c>
      <c r="D3">
        <v>8</v>
      </c>
      <c r="E3">
        <v>10</v>
      </c>
      <c r="F3">
        <v>10</v>
      </c>
      <c r="G3">
        <v>8</v>
      </c>
      <c r="H3">
        <v>3</v>
      </c>
      <c r="I3">
        <v>3</v>
      </c>
      <c r="J3">
        <f t="shared" ref="J3:J15" si="0">SUM(B3:I3)</f>
        <v>54</v>
      </c>
      <c r="K3">
        <f>(J3/J2)*50</f>
        <v>44.26229508196721</v>
      </c>
      <c r="L3">
        <f>K3/50</f>
        <v>0.88524590163934425</v>
      </c>
      <c r="M3" s="3" t="s">
        <v>12</v>
      </c>
    </row>
    <row r="4" spans="1:13" ht="275.5" x14ac:dyDescent="0.35">
      <c r="A4" t="s">
        <v>13</v>
      </c>
      <c r="B4">
        <v>5</v>
      </c>
      <c r="C4">
        <v>9</v>
      </c>
      <c r="D4">
        <v>7</v>
      </c>
      <c r="E4">
        <v>9</v>
      </c>
      <c r="F4">
        <v>7</v>
      </c>
      <c r="G4">
        <v>9</v>
      </c>
      <c r="H4">
        <v>3</v>
      </c>
      <c r="I4">
        <v>3</v>
      </c>
      <c r="J4">
        <f t="shared" si="0"/>
        <v>52</v>
      </c>
      <c r="K4">
        <f>(J4/J2)*50</f>
        <v>42.622950819672127</v>
      </c>
      <c r="L4">
        <f>K4/50</f>
        <v>0.85245901639344257</v>
      </c>
      <c r="M4" s="3" t="s">
        <v>14</v>
      </c>
    </row>
    <row r="5" spans="1:13" ht="409.5" x14ac:dyDescent="0.35">
      <c r="A5" t="s">
        <v>15</v>
      </c>
      <c r="B5">
        <v>2.5</v>
      </c>
      <c r="C5">
        <v>8</v>
      </c>
      <c r="D5">
        <v>9</v>
      </c>
      <c r="E5">
        <v>9</v>
      </c>
      <c r="F5">
        <v>8</v>
      </c>
      <c r="G5">
        <v>6</v>
      </c>
      <c r="H5">
        <v>3</v>
      </c>
      <c r="I5">
        <v>2.5</v>
      </c>
      <c r="J5">
        <f t="shared" si="0"/>
        <v>48</v>
      </c>
      <c r="K5">
        <f>(J5/J2)*50</f>
        <v>39.344262295081968</v>
      </c>
      <c r="L5">
        <f>K5/50</f>
        <v>0.78688524590163933</v>
      </c>
      <c r="M5" s="3" t="s">
        <v>19</v>
      </c>
    </row>
    <row r="6" spans="1:13" ht="159.5" x14ac:dyDescent="0.35">
      <c r="A6" t="s">
        <v>16</v>
      </c>
      <c r="B6">
        <v>5</v>
      </c>
      <c r="C6">
        <v>10</v>
      </c>
      <c r="D6">
        <v>10</v>
      </c>
      <c r="E6">
        <v>10</v>
      </c>
      <c r="F6">
        <v>8</v>
      </c>
      <c r="G6">
        <v>10</v>
      </c>
      <c r="H6">
        <v>3</v>
      </c>
      <c r="I6">
        <v>3</v>
      </c>
      <c r="J6">
        <f t="shared" si="0"/>
        <v>59</v>
      </c>
      <c r="K6">
        <f>(J6/J2)*50</f>
        <v>48.360655737704917</v>
      </c>
      <c r="L6">
        <f t="shared" ref="L6:L15" si="1">K6/50</f>
        <v>0.96721311475409832</v>
      </c>
      <c r="M6" s="3" t="s">
        <v>17</v>
      </c>
    </row>
    <row r="7" spans="1:13" ht="348" x14ac:dyDescent="0.35">
      <c r="A7" t="s">
        <v>18</v>
      </c>
      <c r="B7">
        <v>5</v>
      </c>
      <c r="C7">
        <v>8.5</v>
      </c>
      <c r="D7">
        <v>10</v>
      </c>
      <c r="E7">
        <v>10</v>
      </c>
      <c r="F7">
        <v>9.5</v>
      </c>
      <c r="G7">
        <v>5</v>
      </c>
      <c r="H7">
        <v>3</v>
      </c>
      <c r="I7">
        <v>3</v>
      </c>
      <c r="J7">
        <f t="shared" si="0"/>
        <v>54</v>
      </c>
      <c r="K7">
        <f>(J7/J2)*50</f>
        <v>44.26229508196721</v>
      </c>
      <c r="L7">
        <f t="shared" si="1"/>
        <v>0.88524590163934425</v>
      </c>
      <c r="M7" s="3" t="s">
        <v>20</v>
      </c>
    </row>
    <row r="8" spans="1:13" ht="246.5" x14ac:dyDescent="0.35">
      <c r="A8" t="s">
        <v>21</v>
      </c>
      <c r="B8">
        <v>5</v>
      </c>
      <c r="C8">
        <v>10</v>
      </c>
      <c r="D8">
        <v>8</v>
      </c>
      <c r="E8">
        <v>9.5</v>
      </c>
      <c r="F8">
        <v>8</v>
      </c>
      <c r="G8">
        <v>10</v>
      </c>
      <c r="H8">
        <v>3</v>
      </c>
      <c r="I8">
        <v>3</v>
      </c>
      <c r="J8">
        <f t="shared" si="0"/>
        <v>56.5</v>
      </c>
      <c r="K8">
        <f>(J8/J2)*50</f>
        <v>46.311475409836063</v>
      </c>
      <c r="L8">
        <f t="shared" si="1"/>
        <v>0.92622950819672123</v>
      </c>
      <c r="M8" s="3" t="s">
        <v>22</v>
      </c>
    </row>
    <row r="9" spans="1:13" ht="130.5" x14ac:dyDescent="0.35">
      <c r="A9" t="s">
        <v>24</v>
      </c>
      <c r="B9">
        <v>5</v>
      </c>
      <c r="C9">
        <v>10</v>
      </c>
      <c r="D9">
        <v>9.5</v>
      </c>
      <c r="E9">
        <v>10</v>
      </c>
      <c r="F9">
        <v>10</v>
      </c>
      <c r="G9">
        <v>8</v>
      </c>
      <c r="H9">
        <v>3</v>
      </c>
      <c r="I9">
        <v>3</v>
      </c>
      <c r="J9">
        <f t="shared" si="0"/>
        <v>58.5</v>
      </c>
      <c r="K9">
        <f>(J9/J2)*50</f>
        <v>47.950819672131146</v>
      </c>
      <c r="L9">
        <f t="shared" si="1"/>
        <v>0.95901639344262291</v>
      </c>
      <c r="M9" s="3" t="s">
        <v>23</v>
      </c>
    </row>
    <row r="10" spans="1:13" ht="217.5" x14ac:dyDescent="0.35">
      <c r="A10" t="s">
        <v>25</v>
      </c>
      <c r="B10">
        <v>5</v>
      </c>
      <c r="C10">
        <v>10</v>
      </c>
      <c r="D10">
        <v>10</v>
      </c>
      <c r="E10">
        <v>9</v>
      </c>
      <c r="F10">
        <v>10</v>
      </c>
      <c r="G10">
        <v>9.5</v>
      </c>
      <c r="H10">
        <v>3</v>
      </c>
      <c r="I10">
        <v>3</v>
      </c>
      <c r="J10">
        <f>SUM(B10:I10)</f>
        <v>59.5</v>
      </c>
      <c r="K10">
        <f>(J10/J2)*50</f>
        <v>48.770491803278688</v>
      </c>
      <c r="L10">
        <f t="shared" si="1"/>
        <v>0.97540983606557374</v>
      </c>
      <c r="M10" s="3" t="s">
        <v>26</v>
      </c>
    </row>
    <row r="11" spans="1:13" ht="87" x14ac:dyDescent="0.35">
      <c r="A11" t="s">
        <v>27</v>
      </c>
      <c r="B11">
        <v>4</v>
      </c>
      <c r="C11">
        <v>10</v>
      </c>
      <c r="D11">
        <v>9</v>
      </c>
      <c r="E11">
        <v>10</v>
      </c>
      <c r="F11">
        <v>10</v>
      </c>
      <c r="G11">
        <v>10</v>
      </c>
      <c r="H11">
        <v>3</v>
      </c>
      <c r="I11">
        <v>3</v>
      </c>
      <c r="J11">
        <f t="shared" si="0"/>
        <v>59</v>
      </c>
      <c r="K11">
        <f>(J11/J2)*50</f>
        <v>48.360655737704917</v>
      </c>
      <c r="L11">
        <f t="shared" si="1"/>
        <v>0.96721311475409832</v>
      </c>
      <c r="M11" s="3" t="s">
        <v>28</v>
      </c>
    </row>
    <row r="12" spans="1:13" ht="101.5" x14ac:dyDescent="0.35">
      <c r="A12" t="s">
        <v>29</v>
      </c>
      <c r="B12">
        <v>5</v>
      </c>
      <c r="C12">
        <v>9</v>
      </c>
      <c r="D12">
        <v>10</v>
      </c>
      <c r="E12">
        <v>10</v>
      </c>
      <c r="F12">
        <v>10</v>
      </c>
      <c r="G12">
        <v>10</v>
      </c>
      <c r="H12">
        <v>3</v>
      </c>
      <c r="I12">
        <v>3</v>
      </c>
      <c r="J12">
        <f t="shared" si="0"/>
        <v>60</v>
      </c>
      <c r="K12">
        <f>(J12/J2)*50</f>
        <v>49.180327868852459</v>
      </c>
      <c r="L12">
        <f t="shared" si="1"/>
        <v>0.98360655737704916</v>
      </c>
      <c r="M12" s="3" t="s">
        <v>30</v>
      </c>
    </row>
    <row r="13" spans="1:13" ht="43.5" x14ac:dyDescent="0.35">
      <c r="A13" t="s">
        <v>31</v>
      </c>
      <c r="B13">
        <v>5</v>
      </c>
      <c r="C13">
        <v>10</v>
      </c>
      <c r="D13">
        <v>10</v>
      </c>
      <c r="E13">
        <v>10</v>
      </c>
      <c r="F13">
        <v>10</v>
      </c>
      <c r="G13">
        <v>10</v>
      </c>
      <c r="H13">
        <v>3</v>
      </c>
      <c r="I13">
        <v>3</v>
      </c>
      <c r="J13">
        <f t="shared" si="0"/>
        <v>61</v>
      </c>
      <c r="K13">
        <f>(J13/J2)*50</f>
        <v>50</v>
      </c>
      <c r="L13">
        <f t="shared" si="1"/>
        <v>1</v>
      </c>
      <c r="M13" s="3" t="s">
        <v>32</v>
      </c>
    </row>
    <row r="14" spans="1:13" ht="116" x14ac:dyDescent="0.35">
      <c r="A14" t="s">
        <v>33</v>
      </c>
      <c r="B14">
        <v>5</v>
      </c>
      <c r="C14">
        <v>8</v>
      </c>
      <c r="D14">
        <v>8</v>
      </c>
      <c r="E14">
        <v>10</v>
      </c>
      <c r="F14">
        <v>10</v>
      </c>
      <c r="G14">
        <v>10</v>
      </c>
      <c r="H14">
        <v>3</v>
      </c>
      <c r="I14">
        <v>2.5</v>
      </c>
      <c r="J14">
        <f t="shared" si="0"/>
        <v>56.5</v>
      </c>
      <c r="K14">
        <f>(J14/J2)*50</f>
        <v>46.311475409836063</v>
      </c>
      <c r="L14">
        <f t="shared" si="1"/>
        <v>0.92622950819672123</v>
      </c>
      <c r="M14" s="3" t="s">
        <v>34</v>
      </c>
    </row>
    <row r="15" spans="1:13" ht="188.5" x14ac:dyDescent="0.35">
      <c r="A15" t="s">
        <v>35</v>
      </c>
      <c r="B15">
        <v>4.5</v>
      </c>
      <c r="C15">
        <v>9</v>
      </c>
      <c r="D15">
        <v>9</v>
      </c>
      <c r="E15">
        <v>10</v>
      </c>
      <c r="F15">
        <v>9</v>
      </c>
      <c r="G15">
        <v>10</v>
      </c>
      <c r="H15">
        <v>3</v>
      </c>
      <c r="I15">
        <v>3</v>
      </c>
      <c r="J15">
        <f t="shared" ref="J15:J16" si="2">SUM(B15:I15)</f>
        <v>57.5</v>
      </c>
      <c r="K15">
        <f>(J15/J2)*50</f>
        <v>47.131147540983612</v>
      </c>
      <c r="L15">
        <f t="shared" ref="L15:L16" si="3">K15/50</f>
        <v>0.94262295081967229</v>
      </c>
      <c r="M15" s="3" t="s">
        <v>36</v>
      </c>
    </row>
    <row r="16" spans="1:13" ht="406" x14ac:dyDescent="0.35">
      <c r="A16" t="s">
        <v>37</v>
      </c>
      <c r="B16">
        <v>2.5</v>
      </c>
      <c r="C16">
        <v>8</v>
      </c>
      <c r="D16">
        <v>10</v>
      </c>
      <c r="E16">
        <v>10</v>
      </c>
      <c r="F16">
        <v>9</v>
      </c>
      <c r="G16">
        <v>8</v>
      </c>
      <c r="H16">
        <v>3</v>
      </c>
      <c r="I16">
        <v>2.5</v>
      </c>
      <c r="J16">
        <f t="shared" si="2"/>
        <v>53</v>
      </c>
      <c r="K16">
        <f>(J16/J2)*50</f>
        <v>43.442622950819668</v>
      </c>
      <c r="L16">
        <f t="shared" si="3"/>
        <v>0.86885245901639341</v>
      </c>
      <c r="M16" s="3"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Kayla Blincow</dc:creator>
  <cp:lastModifiedBy>Kayla Blincow</cp:lastModifiedBy>
  <dcterms:created xsi:type="dcterms:W3CDTF">2026-09-16T16:19:44Z</dcterms:created>
  <dcterms:modified xsi:type="dcterms:W3CDTF">2026-09-18T19:18:34Z</dcterms:modified>
</cp:coreProperties>
</file>