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ac6229071bdafc06/UVI/F26_MES503/MES503Lab/Lab Assignment 2/"/>
    </mc:Choice>
  </mc:AlternateContent>
  <xr:revisionPtr revIDLastSave="440" documentId="8_{FB82230C-6DCA-4D9A-881C-538C641DE55F}" xr6:coauthVersionLast="47" xr6:coauthVersionMax="47" xr10:uidLastSave="{4E0CB8C8-7FD3-42BC-985B-E3C64FA4BB80}"/>
  <bookViews>
    <workbookView xWindow="-110" yWindow="-110" windowWidth="19420" windowHeight="10300" xr2:uid="{2B4CA56E-0A3F-4AE9-B3A1-E954E5BA57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5" i="1" l="1"/>
  <c r="J16" i="1"/>
  <c r="J10" i="1"/>
  <c r="J3" i="1"/>
  <c r="J4" i="1"/>
  <c r="J5" i="1"/>
  <c r="J6" i="1"/>
  <c r="J7" i="1"/>
  <c r="J8" i="1"/>
  <c r="J9" i="1"/>
  <c r="J11" i="1"/>
  <c r="J12" i="1"/>
  <c r="J13" i="1"/>
  <c r="J14" i="1"/>
  <c r="J2" i="1"/>
  <c r="K15" i="1" l="1"/>
  <c r="L15" i="1" s="1"/>
  <c r="K5" i="1"/>
  <c r="L5" i="1" s="1"/>
  <c r="K4" i="1"/>
  <c r="L4" i="1" s="1"/>
  <c r="K14" i="1"/>
  <c r="L14" i="1" s="1"/>
  <c r="K13" i="1"/>
  <c r="L13" i="1" s="1"/>
  <c r="K12" i="1"/>
  <c r="L12" i="1" s="1"/>
  <c r="K10" i="1"/>
  <c r="L10" i="1" s="1"/>
  <c r="K16" i="1"/>
  <c r="L16" i="1" s="1"/>
  <c r="K11" i="1"/>
  <c r="L11" i="1" s="1"/>
  <c r="K9" i="1"/>
  <c r="L9" i="1" s="1"/>
  <c r="K8" i="1"/>
  <c r="L8" i="1" s="1"/>
  <c r="K7" i="1"/>
  <c r="L7" i="1" s="1"/>
  <c r="K6" i="1"/>
  <c r="L6" i="1" s="1"/>
  <c r="K3" i="1"/>
  <c r="L3" i="1" s="1"/>
</calcChain>
</file>

<file path=xl/sharedStrings.xml><?xml version="1.0" encoding="utf-8"?>
<sst xmlns="http://schemas.openxmlformats.org/spreadsheetml/2006/main" count="39" uniqueCount="39">
  <si>
    <t>Kadejsha</t>
  </si>
  <si>
    <t>NoErrors</t>
  </si>
  <si>
    <t>DataImport/Exploration</t>
  </si>
  <si>
    <t>Total</t>
  </si>
  <si>
    <t>Scaledto50</t>
  </si>
  <si>
    <t>Comments</t>
  </si>
  <si>
    <t>Branalysa</t>
  </si>
  <si>
    <t>Lauryn</t>
  </si>
  <si>
    <t>Saia</t>
  </si>
  <si>
    <t>Destiny</t>
  </si>
  <si>
    <t>Sommer</t>
  </si>
  <si>
    <t>Olivia</t>
  </si>
  <si>
    <t>Emma</t>
  </si>
  <si>
    <t>Miles</t>
  </si>
  <si>
    <t>Rob</t>
  </si>
  <si>
    <t>Helen</t>
  </si>
  <si>
    <t>John</t>
  </si>
  <si>
    <t>Tia</t>
  </si>
  <si>
    <t>Neve</t>
  </si>
  <si>
    <t>CorrelationWrangling</t>
  </si>
  <si>
    <t>CorrelationTest</t>
  </si>
  <si>
    <t>CorrelationViz_Interpretation</t>
  </si>
  <si>
    <t>tWrangling</t>
  </si>
  <si>
    <t>tTest</t>
  </si>
  <si>
    <t>tViz_Interpretation</t>
  </si>
  <si>
    <t>Great job!</t>
  </si>
  <si>
    <r>
      <t xml:space="preserve">Took the mean biomass by location rather than calculating the total biomass; Should specify in interpretation that you are talking about the mean biomass. 
When interpreting log transformed results, it's very important to specify mean </t>
    </r>
    <r>
      <rPr>
        <b/>
        <sz val="11"/>
        <color theme="1"/>
        <rFont val="Aptos Narrow"/>
        <family val="2"/>
        <scheme val="minor"/>
      </rPr>
      <t xml:space="preserve">log </t>
    </r>
    <r>
      <rPr>
        <sz val="11"/>
        <color theme="1"/>
        <rFont val="Aptos Narrow"/>
        <family val="2"/>
        <scheme val="minor"/>
      </rPr>
      <t>density, otherwise your numbers don't make any sense. You can't have negative fish density, you can have negative log fish density.</t>
    </r>
  </si>
  <si>
    <t>Didn't load necessary packages
The test statistic for correlation is r not t--Figure label is incorrect
What does the correlation coefficient tell us about the strength and direction of the relationship?
When interpreting log transformed results, it's very important to specify mean log density, otherwise your numbers don't make any sense. You can't have negative fish density, you can have negative log fish density.
Why are you referencing the medians in your written interpretation? Do t tests do anything with medians?</t>
  </si>
  <si>
    <t>Took the mean biomass by location rather than calculating the total biomass;.
Should specify in interpretation that you are talking about the mean biomass; in your written report of the results you should also specify it was a statistically significant correlation and report the p value.; missing units on your axis labels
The way you wrote your Island_Count code is kind of weird, but it works. You nested the filter inside of select, which again didn't cause any problems, but is kind of weird. (no points removed for this)
Didn't report the t vlaue, degrees of freedom, or significance of when reporting your t test.
Your t test visual reports the t value as r (not t)</t>
  </si>
  <si>
    <t>Took the mean biomass by location rather than calculating the total biomass; Should specify in interpretation that you are talking about the mean biomass; Missing biomass units on y axis.
Y axis label should say log(Lionfish Density) with units.
When interpreting log transformed results, it's very important to specify mean log density, otherwise your numbers don't make any sense. You can't have negative fish density, you can have negative log fish density.
Ecological interpretation?</t>
  </si>
  <si>
    <t>You only need to run install.packages() once, after the first time, the package gets downloaded and stored on your computer. Unless you've gone in and deleted it somehow, it should be available using library() forever (no points deducted, just an FYI)
one line throwing an error: cor(lionfishbiomassmean, lionfishbiomassmean) - you're missing "$" 
ecological interpretations of correlation?</t>
  </si>
  <si>
    <t>Comment related to data exploration is incorrect: head(Lionfish) only showed you six locations, because it shows you the first six rows. There are 31 locations.
Took the mean biomass by location rather than calculating the total biomass; Should specify in interpretation that you are talking about the mean biomass. 
Using filter() weirdly, because filter is in the tidyverse you don't need to use the "$" syntax to say which column you filtering, you just need to write the column name. Everything worked here, but it can cause you issues down the line if you mish mash tidy syntax and base R in this way.
Y axis label should say log(Density)
When interpreting log transformed results, it's very important to specify mean log density, otherwise your numbers don't make any sense. You can't have negative fish density, you can have negative log fish density.</t>
  </si>
  <si>
    <t>By using group_by() with mutate() you are duplicating the mean biomass value everytime the same location appears in the Location column. So you are doing the correlation with more data points than you actually have. Also, it asks for total biomass not average biomass. You should have group_by(Location) |&gt; summarize(totalbiomass = sum(Biomass), depth = first(Depth)).
Don't log transform plots unless you absolutely have to, and if you do, ALWAYS label the y axis accordingly
What led you to conclude the t test needed a log transformation? In your code you just jump write to the transform without demonstrating why you needed to do that
Units on log(Density) axis?</t>
  </si>
  <si>
    <t xml:space="preserve">Took the mean biomass by location rather than calculating the total biomass
Ecological interpretations of the correlation and t test?
When interpreting log transformed results, it's very important to specify mean log density, otherwise your numbers don't make any sense. You can't have negative fish density, you can have negative log fish density.
</t>
  </si>
  <si>
    <t>By using group_by() with mutate() you are duplicating the mean biomass value everytime the same location appears in the Location column. So you are doing the correlation with more data points than you actually have. Also, it asks for total biomass not average biomass. You should have group_by(Location) |&gt; summarize(totalbiomass = sum(Biomass), depth = first(Depth)).
Report the results as if you were doing it in a scientific paper. It reads as if you're hedging your bets: "it's strong, but not that strong"; you should present the results/interpretation in a more formal way to practice for writing it in your thesis/publications
What led you to conclude the t test needed a log transformation? In your code you just jump write to the transform without demonstrating why you needed to do that. You mention your original plot was clumped, but I can't see that plot. It might help for visualization, but the visualization ease shouldn't be the support for using a transformation in a statistical test like a t test. Your transformations should be in response to assumption violations.
When interpreting log transformed results, it's very important to specify mean log density.</t>
  </si>
  <si>
    <t>Took the mean biomass by location rather than calculating the total biomass
Report your correlation coefficient and p value values in your interpretation
When interpreting log transformed results, it's very important to specify mean log density when referencing the t test.</t>
  </si>
  <si>
    <t>Report your correlation coefficient and p value values in your interpretation
Missing p value and t test statistic on your t test visual
When interpreting log transformed results, it's very important to specify mean log density when referencing the t test.</t>
  </si>
  <si>
    <t>Error when running t.test(): Should be t.test(density ~ Island, data=many_fish)
Report correlation coefficient when interpreting correlation results in addition to p value, Missing units on biomass axis, missing ecological interpretation
Units of liionfish density axis, interpretation of correlation is appropriate (you report the p value and the correlation coefficient), although you should discuss what type of correlation is being done as it's definitely a weird one since you are looking at how a continuous variable is correlated to a categorical variable.
Was looking for a log transformed t test (data violates the t test assumption of normality)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</si>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</sst>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220B7-4BCB-4CEE-BCA7-A2EE8327144B}">
  <dimension ref="A1:M17"/>
  <sheetViews>
    <sheetView tabSelected="1" topLeftCell="D1" workbookViewId="0">
      <pane ySplit="2" topLeftCell="A16" activePane="bottomLeft" state="frozen"/>
      <selection pane="bottomLeft" activeCell="L16" sqref="L16"/>
    </sheetView>
  </sheetViews>
  <sheetFormatPr defaultRowHeight="14.5" x14ac:dyDescent="0.35"/>
  <cols>
    <col min="2" max="2" width="19.81640625" bestFit="1" customWidth="1"/>
    <col min="3" max="3" width="18.08984375" bestFit="1" customWidth="1"/>
    <col min="4" max="4" width="13.453125" bestFit="1" customWidth="1"/>
    <col min="5" max="5" width="24.453125" bestFit="1" customWidth="1"/>
    <col min="6" max="6" width="9.453125" bestFit="1" customWidth="1"/>
    <col min="8" max="8" width="14.08984375" bestFit="1" customWidth="1"/>
    <col min="13" max="13" width="59.6328125" style="3" customWidth="1"/>
  </cols>
  <sheetData>
    <row r="1" spans="1:13" x14ac:dyDescent="0.35">
      <c r="B1" t="s">
        <v>2</v>
      </c>
      <c r="C1" t="s">
        <v>19</v>
      </c>
      <c r="D1" t="s">
        <v>20</v>
      </c>
      <c r="E1" t="s">
        <v>21</v>
      </c>
      <c r="F1" t="s">
        <v>22</v>
      </c>
      <c r="G1" t="s">
        <v>23</v>
      </c>
      <c r="H1" t="s">
        <v>24</v>
      </c>
      <c r="I1" t="s">
        <v>1</v>
      </c>
      <c r="J1" s="1" t="s">
        <v>3</v>
      </c>
      <c r="K1" s="1" t="s">
        <v>4</v>
      </c>
      <c r="L1" s="1"/>
      <c r="M1" s="2" t="s">
        <v>5</v>
      </c>
    </row>
    <row r="2" spans="1:13" x14ac:dyDescent="0.35">
      <c r="B2">
        <v>5</v>
      </c>
      <c r="C2">
        <v>10</v>
      </c>
      <c r="D2">
        <v>5</v>
      </c>
      <c r="E2">
        <v>10</v>
      </c>
      <c r="F2">
        <v>10</v>
      </c>
      <c r="G2">
        <v>5</v>
      </c>
      <c r="H2">
        <v>10</v>
      </c>
      <c r="I2">
        <v>3</v>
      </c>
      <c r="J2">
        <f>SUM(B2:I2)</f>
        <v>58</v>
      </c>
    </row>
    <row r="3" spans="1:13" x14ac:dyDescent="0.35">
      <c r="A3" t="s">
        <v>0</v>
      </c>
      <c r="B3">
        <v>5</v>
      </c>
      <c r="C3">
        <v>10</v>
      </c>
      <c r="D3">
        <v>5</v>
      </c>
      <c r="E3">
        <v>10</v>
      </c>
      <c r="F3">
        <v>10</v>
      </c>
      <c r="G3">
        <v>5</v>
      </c>
      <c r="H3">
        <v>10</v>
      </c>
      <c r="I3">
        <v>3</v>
      </c>
      <c r="J3">
        <f t="shared" ref="J3:J14" si="0">SUM(B3:I3)</f>
        <v>58</v>
      </c>
      <c r="K3">
        <f>(J3/J2)*50</f>
        <v>50</v>
      </c>
      <c r="L3">
        <f>K3/50</f>
        <v>1</v>
      </c>
      <c r="M3" s="3" t="s">
        <v>25</v>
      </c>
    </row>
    <row r="4" spans="1:13" ht="87" x14ac:dyDescent="0.35">
      <c r="A4" t="s">
        <v>6</v>
      </c>
      <c r="B4">
        <v>5</v>
      </c>
      <c r="C4">
        <v>8</v>
      </c>
      <c r="D4">
        <v>5</v>
      </c>
      <c r="E4">
        <v>8</v>
      </c>
      <c r="F4">
        <v>10</v>
      </c>
      <c r="G4">
        <v>5</v>
      </c>
      <c r="H4">
        <v>7</v>
      </c>
      <c r="I4">
        <v>3</v>
      </c>
      <c r="J4">
        <f t="shared" si="0"/>
        <v>51</v>
      </c>
      <c r="K4">
        <f>(J4/J2)*50</f>
        <v>43.96551724137931</v>
      </c>
      <c r="L4">
        <f>K4/50</f>
        <v>0.87931034482758619</v>
      </c>
      <c r="M4" s="3" t="s">
        <v>26</v>
      </c>
    </row>
    <row r="5" spans="1:13" ht="130.5" x14ac:dyDescent="0.35">
      <c r="A5" t="s">
        <v>7</v>
      </c>
      <c r="B5">
        <v>4</v>
      </c>
      <c r="C5">
        <v>10</v>
      </c>
      <c r="D5">
        <v>5</v>
      </c>
      <c r="E5">
        <v>7</v>
      </c>
      <c r="F5">
        <v>10</v>
      </c>
      <c r="G5">
        <v>5</v>
      </c>
      <c r="H5">
        <v>6</v>
      </c>
      <c r="I5">
        <v>3</v>
      </c>
      <c r="J5">
        <f t="shared" si="0"/>
        <v>50</v>
      </c>
      <c r="K5">
        <f>(J5/J2)*50</f>
        <v>43.103448275862064</v>
      </c>
      <c r="L5">
        <f>K5/50</f>
        <v>0.86206896551724133</v>
      </c>
      <c r="M5" s="3" t="s">
        <v>27</v>
      </c>
    </row>
    <row r="6" spans="1:13" ht="174" x14ac:dyDescent="0.35">
      <c r="A6" t="s">
        <v>8</v>
      </c>
      <c r="B6">
        <v>5</v>
      </c>
      <c r="C6">
        <v>8</v>
      </c>
      <c r="D6">
        <v>5</v>
      </c>
      <c r="E6">
        <v>7</v>
      </c>
      <c r="F6">
        <v>10</v>
      </c>
      <c r="G6">
        <v>5</v>
      </c>
      <c r="H6">
        <v>6</v>
      </c>
      <c r="I6">
        <v>3</v>
      </c>
      <c r="J6">
        <f t="shared" si="0"/>
        <v>49</v>
      </c>
      <c r="K6">
        <f>(J6/J2)*50</f>
        <v>42.241379310344826</v>
      </c>
      <c r="L6">
        <f t="shared" ref="L6:L14" si="1">K6/50</f>
        <v>0.84482758620689646</v>
      </c>
      <c r="M6" s="3" t="s">
        <v>28</v>
      </c>
    </row>
    <row r="7" spans="1:13" ht="116" x14ac:dyDescent="0.35">
      <c r="A7" t="s">
        <v>9</v>
      </c>
      <c r="B7">
        <v>5</v>
      </c>
      <c r="C7">
        <v>8</v>
      </c>
      <c r="D7">
        <v>5</v>
      </c>
      <c r="E7">
        <v>8</v>
      </c>
      <c r="F7">
        <v>10</v>
      </c>
      <c r="G7">
        <v>5</v>
      </c>
      <c r="H7">
        <v>5</v>
      </c>
      <c r="I7">
        <v>3</v>
      </c>
      <c r="J7">
        <f t="shared" si="0"/>
        <v>49</v>
      </c>
      <c r="K7">
        <f>(J7/J2)*50</f>
        <v>42.241379310344826</v>
      </c>
      <c r="L7">
        <f t="shared" si="1"/>
        <v>0.84482758620689646</v>
      </c>
      <c r="M7" s="3" t="s">
        <v>29</v>
      </c>
    </row>
    <row r="8" spans="1:13" ht="101.5" x14ac:dyDescent="0.35">
      <c r="A8" t="s">
        <v>10</v>
      </c>
      <c r="B8">
        <v>5</v>
      </c>
      <c r="C8">
        <v>10</v>
      </c>
      <c r="D8">
        <v>5</v>
      </c>
      <c r="E8">
        <v>8</v>
      </c>
      <c r="F8">
        <v>10</v>
      </c>
      <c r="G8">
        <v>5</v>
      </c>
      <c r="H8">
        <v>10</v>
      </c>
      <c r="I8">
        <v>1.5</v>
      </c>
      <c r="J8">
        <f t="shared" si="0"/>
        <v>54.5</v>
      </c>
      <c r="K8">
        <f>(J8/J2)*50</f>
        <v>46.982758620689658</v>
      </c>
      <c r="L8">
        <f t="shared" si="1"/>
        <v>0.93965517241379315</v>
      </c>
      <c r="M8" s="3" t="s">
        <v>30</v>
      </c>
    </row>
    <row r="9" spans="1:13" ht="203" x14ac:dyDescent="0.35">
      <c r="A9" t="s">
        <v>11</v>
      </c>
      <c r="B9">
        <v>4</v>
      </c>
      <c r="C9">
        <v>8</v>
      </c>
      <c r="D9">
        <v>5</v>
      </c>
      <c r="E9">
        <v>10</v>
      </c>
      <c r="F9">
        <v>9</v>
      </c>
      <c r="G9">
        <v>5</v>
      </c>
      <c r="H9">
        <v>7</v>
      </c>
      <c r="I9">
        <v>3</v>
      </c>
      <c r="J9">
        <f t="shared" si="0"/>
        <v>51</v>
      </c>
      <c r="K9">
        <f>(J9/J2)*50</f>
        <v>43.96551724137931</v>
      </c>
      <c r="L9">
        <f t="shared" si="1"/>
        <v>0.87931034482758619</v>
      </c>
      <c r="M9" s="3" t="s">
        <v>31</v>
      </c>
    </row>
    <row r="10" spans="1:13" ht="174" x14ac:dyDescent="0.35">
      <c r="A10" t="s">
        <v>12</v>
      </c>
      <c r="B10">
        <v>5</v>
      </c>
      <c r="C10">
        <v>6</v>
      </c>
      <c r="D10">
        <v>5</v>
      </c>
      <c r="E10">
        <v>8</v>
      </c>
      <c r="F10">
        <v>8</v>
      </c>
      <c r="G10">
        <v>5</v>
      </c>
      <c r="H10">
        <v>9</v>
      </c>
      <c r="I10">
        <v>3</v>
      </c>
      <c r="J10">
        <f>SUM(B10:I10)</f>
        <v>49</v>
      </c>
      <c r="K10">
        <f>(J10/J2)*50</f>
        <v>42.241379310344826</v>
      </c>
      <c r="L10">
        <f t="shared" si="1"/>
        <v>0.84482758620689646</v>
      </c>
      <c r="M10" s="3" t="s">
        <v>32</v>
      </c>
    </row>
    <row r="11" spans="1:13" ht="101.5" x14ac:dyDescent="0.35">
      <c r="A11" t="s">
        <v>13</v>
      </c>
      <c r="B11">
        <v>5</v>
      </c>
      <c r="C11">
        <v>8</v>
      </c>
      <c r="D11">
        <v>5</v>
      </c>
      <c r="E11">
        <v>9</v>
      </c>
      <c r="F11">
        <v>10</v>
      </c>
      <c r="G11">
        <v>5</v>
      </c>
      <c r="H11">
        <v>8</v>
      </c>
      <c r="I11">
        <v>3</v>
      </c>
      <c r="J11">
        <f t="shared" si="0"/>
        <v>53</v>
      </c>
      <c r="K11">
        <f>(J11/J2)*50</f>
        <v>45.689655172413794</v>
      </c>
      <c r="L11">
        <f t="shared" si="1"/>
        <v>0.91379310344827591</v>
      </c>
      <c r="M11" s="3" t="s">
        <v>33</v>
      </c>
    </row>
    <row r="12" spans="1:13" x14ac:dyDescent="0.35">
      <c r="A12" t="s">
        <v>14</v>
      </c>
      <c r="B12">
        <v>5</v>
      </c>
      <c r="C12">
        <v>10</v>
      </c>
      <c r="D12">
        <v>5</v>
      </c>
      <c r="E12">
        <v>10</v>
      </c>
      <c r="F12">
        <v>10</v>
      </c>
      <c r="G12">
        <v>5</v>
      </c>
      <c r="H12">
        <v>10</v>
      </c>
      <c r="I12">
        <v>3</v>
      </c>
      <c r="J12">
        <f t="shared" si="0"/>
        <v>58</v>
      </c>
      <c r="K12">
        <f>(J12/J2)*50</f>
        <v>50</v>
      </c>
      <c r="L12">
        <f t="shared" si="1"/>
        <v>1</v>
      </c>
    </row>
    <row r="13" spans="1:13" ht="275.5" x14ac:dyDescent="0.35">
      <c r="A13" t="s">
        <v>15</v>
      </c>
      <c r="B13">
        <v>5</v>
      </c>
      <c r="C13">
        <v>6</v>
      </c>
      <c r="D13">
        <v>5</v>
      </c>
      <c r="E13">
        <v>9</v>
      </c>
      <c r="F13">
        <v>8</v>
      </c>
      <c r="G13">
        <v>5</v>
      </c>
      <c r="H13">
        <v>8</v>
      </c>
      <c r="I13">
        <v>3</v>
      </c>
      <c r="J13">
        <f t="shared" si="0"/>
        <v>49</v>
      </c>
      <c r="K13">
        <f>(J13/J2)*50</f>
        <v>42.241379310344826</v>
      </c>
      <c r="L13">
        <f t="shared" si="1"/>
        <v>0.84482758620689646</v>
      </c>
      <c r="M13" s="3" t="s">
        <v>34</v>
      </c>
    </row>
    <row r="14" spans="1:13" ht="87" x14ac:dyDescent="0.35">
      <c r="A14" t="s">
        <v>16</v>
      </c>
      <c r="B14">
        <v>5</v>
      </c>
      <c r="C14">
        <v>8</v>
      </c>
      <c r="D14">
        <v>5</v>
      </c>
      <c r="E14">
        <v>8</v>
      </c>
      <c r="F14">
        <v>10</v>
      </c>
      <c r="G14">
        <v>5</v>
      </c>
      <c r="H14">
        <v>8</v>
      </c>
      <c r="I14">
        <v>3</v>
      </c>
      <c r="J14">
        <f t="shared" si="0"/>
        <v>52</v>
      </c>
      <c r="K14">
        <f>(J14/J2)*50</f>
        <v>44.827586206896555</v>
      </c>
      <c r="L14">
        <f t="shared" si="1"/>
        <v>0.89655172413793105</v>
      </c>
      <c r="M14" s="3" t="s">
        <v>35</v>
      </c>
    </row>
    <row r="15" spans="1:13" ht="72.5" x14ac:dyDescent="0.35">
      <c r="A15" t="s">
        <v>17</v>
      </c>
      <c r="B15">
        <v>5</v>
      </c>
      <c r="C15">
        <v>10</v>
      </c>
      <c r="D15">
        <v>5</v>
      </c>
      <c r="E15">
        <v>8</v>
      </c>
      <c r="F15">
        <v>10</v>
      </c>
      <c r="G15">
        <v>5</v>
      </c>
      <c r="H15">
        <v>7</v>
      </c>
      <c r="I15">
        <v>3</v>
      </c>
      <c r="J15">
        <f t="shared" ref="J15:J16" si="2">SUM(B15:I15)</f>
        <v>53</v>
      </c>
      <c r="K15">
        <f>(J15/J2)*50</f>
        <v>45.689655172413794</v>
      </c>
      <c r="L15">
        <f t="shared" ref="L15:L16" si="3">K15/50</f>
        <v>0.91379310344827591</v>
      </c>
      <c r="M15" s="3" t="s">
        <v>36</v>
      </c>
    </row>
    <row r="16" spans="1:13" ht="174" x14ac:dyDescent="0.35">
      <c r="A16" t="s">
        <v>18</v>
      </c>
      <c r="B16">
        <v>5</v>
      </c>
      <c r="C16">
        <v>10</v>
      </c>
      <c r="D16">
        <v>5</v>
      </c>
      <c r="E16">
        <v>7</v>
      </c>
      <c r="F16">
        <v>10</v>
      </c>
      <c r="G16">
        <v>1</v>
      </c>
      <c r="H16">
        <v>7</v>
      </c>
      <c r="I16">
        <v>1.5</v>
      </c>
      <c r="J16">
        <f t="shared" si="2"/>
        <v>46.5</v>
      </c>
      <c r="K16">
        <f>(J16/J2)*50</f>
        <v>40.086206896551722</v>
      </c>
      <c r="L16">
        <f t="shared" si="3"/>
        <v>0.80172413793103448</v>
      </c>
      <c r="M16" s="3" t="s">
        <v>37</v>
      </c>
    </row>
    <row r="17" spans="8:8" x14ac:dyDescent="0.35">
      <c r="H1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Kayla Blincow</dc:creator>
  <cp:lastModifiedBy>Kayla Blincow</cp:lastModifiedBy>
  <dcterms:created xsi:type="dcterms:W3CDTF">2026-09-16T16:19:44Z</dcterms:created>
  <dcterms:modified xsi:type="dcterms:W3CDTF">2026-10-06T15:49:47Z</dcterms:modified>
</cp:coreProperties>
</file>